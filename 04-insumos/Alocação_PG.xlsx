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80a470eb7871e4/Documentos/"/>
    </mc:Choice>
  </mc:AlternateContent>
  <xr:revisionPtr revIDLastSave="1" documentId="8_{B9390F48-1209-4E66-87C5-97A97361F6F7}" xr6:coauthVersionLast="46" xr6:coauthVersionMax="46" xr10:uidLastSave="{505FAA1A-533C-4EEE-8BED-054009D982A3}"/>
  <bookViews>
    <workbookView xWindow="-120" yWindow="-120" windowWidth="29040" windowHeight="15720" xr2:uid="{70533544-8A4C-4CBD-926F-15882C4396FE}"/>
  </bookViews>
  <sheets>
    <sheet name="ALOCAÇÃO POR CLASSE" sheetId="1" r:id="rId1"/>
    <sheet name="COMPOSIÇÃO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J6" i="2"/>
  <c r="J5" i="2"/>
  <c r="J4" i="2"/>
  <c r="D7" i="2"/>
  <c r="D6" i="2"/>
  <c r="D5" i="2"/>
  <c r="D4" i="2"/>
  <c r="G4" i="2"/>
  <c r="G7" i="2"/>
  <c r="G6" i="2"/>
  <c r="G5" i="2"/>
</calcChain>
</file>

<file path=xl/sharedStrings.xml><?xml version="1.0" encoding="utf-8"?>
<sst xmlns="http://schemas.openxmlformats.org/spreadsheetml/2006/main" count="122" uniqueCount="57">
  <si>
    <t>CONSERVADOR</t>
  </si>
  <si>
    <t>Pós-fixado</t>
  </si>
  <si>
    <t>Tesouro Selic (maior venc.) / Reserva Estratégica</t>
  </si>
  <si>
    <t>LFTB11</t>
  </si>
  <si>
    <t>NLFA11</t>
  </si>
  <si>
    <t>LFIN11</t>
  </si>
  <si>
    <t>MARG11</t>
  </si>
  <si>
    <t>DEBB11</t>
  </si>
  <si>
    <t>Plural Debentures Incentivadas Hedge 30 FIC FIF RF CP RL</t>
  </si>
  <si>
    <t>XP Debêntures Incentivadas CDI 30</t>
  </si>
  <si>
    <t>Inflação</t>
  </si>
  <si>
    <t>Tesouro IPCA+ Principal com vencimento em 2030 (B30)</t>
  </si>
  <si>
    <t>Tesouro IPCA+ Principal com vencimento em 2035 (B35)</t>
  </si>
  <si>
    <t>Prefixado</t>
  </si>
  <si>
    <t>Tesouro Prefixado Principal com vencimento em 2029 (LTN 2029)</t>
  </si>
  <si>
    <t>Tesouro Prefixado Principal com vencimento em 2032 (LTN 2032)</t>
  </si>
  <si>
    <t>HGBR11</t>
  </si>
  <si>
    <t>SPXR11</t>
  </si>
  <si>
    <t>Fundos Listados</t>
  </si>
  <si>
    <t>XFIX11</t>
  </si>
  <si>
    <t>Previdência Trend Imab5+ &amp; Bolsa Americana Dólar Xp Seg</t>
  </si>
  <si>
    <t>Alocação</t>
  </si>
  <si>
    <t>Classe de ativo</t>
  </si>
  <si>
    <t>Previdência Bradesco Ultra XP Seg Prev</t>
  </si>
  <si>
    <t>Previdência Brave Prev XP Seg</t>
  </si>
  <si>
    <t>LFTB11 / Reserva Estratégica</t>
  </si>
  <si>
    <t xml:space="preserve"> NLFA11</t>
  </si>
  <si>
    <t>Jive BossaNova High Yield Advisory FIC FIDC</t>
  </si>
  <si>
    <t>Pátria Crédito Estruturado 365 FIDC</t>
  </si>
  <si>
    <r>
      <t xml:space="preserve">Tesouro Selic (maior venc.) / Reserva de Emergência </t>
    </r>
    <r>
      <rPr>
        <sz val="11"/>
        <color rgb="FFFF0000"/>
        <rFont val="Calibri"/>
        <family val="2"/>
        <scheme val="minor"/>
      </rPr>
      <t>(!)</t>
    </r>
  </si>
  <si>
    <t>Multimercados</t>
  </si>
  <si>
    <t>AZ Quest Bayes LS Sistemático FIF em Cotas de FIM</t>
  </si>
  <si>
    <t>AlphaKey Long Short FIC FIM</t>
  </si>
  <si>
    <t>Previdência Arca Grão Prev Xp Seg</t>
  </si>
  <si>
    <t>Previdência Kapitalo K10 Global Prev Xp Seg</t>
  </si>
  <si>
    <t>DIVO11</t>
  </si>
  <si>
    <t>Alternativos</t>
  </si>
  <si>
    <t>GOLX11</t>
  </si>
  <si>
    <t>BCOM39</t>
  </si>
  <si>
    <t>HASH11</t>
  </si>
  <si>
    <t>MODERADO</t>
  </si>
  <si>
    <t>RV Global</t>
  </si>
  <si>
    <t xml:space="preserve">RV Global </t>
  </si>
  <si>
    <t>RV Brasil</t>
  </si>
  <si>
    <t>Produto</t>
  </si>
  <si>
    <t>Tesouro IPCA+ Principal com vencimento em 2050 (B35)</t>
  </si>
  <si>
    <t>Tesouro Educa+ Vencimento mais longo</t>
  </si>
  <si>
    <t>RF Global</t>
  </si>
  <si>
    <t>ARROJADO</t>
  </si>
  <si>
    <t>Tesouro Direto</t>
  </si>
  <si>
    <t>ETFs</t>
  </si>
  <si>
    <t>Previdência</t>
  </si>
  <si>
    <t>Fundos de Investimentos</t>
  </si>
  <si>
    <t>C</t>
  </si>
  <si>
    <t>M</t>
  </si>
  <si>
    <t>A</t>
  </si>
  <si>
    <t>ALOCAÇÃO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</si>
</sst>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10" fontId="0" fillId="4" borderId="0" xfId="0" applyNumberFormat="1" applyFill="1" applyBorder="1" applyAlignment="1">
      <alignment horizontal="center" vertical="center"/>
    </xf>
    <xf numFmtId="10" fontId="0" fillId="4" borderId="7" xfId="0" applyNumberFormat="1" applyFill="1" applyBorder="1" applyAlignment="1">
      <alignment horizontal="center" vertical="center"/>
    </xf>
    <xf numFmtId="164" fontId="0" fillId="5" borderId="0" xfId="0" applyNumberFormat="1" applyFill="1" applyBorder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10" fontId="0" fillId="5" borderId="10" xfId="0" applyNumberFormat="1" applyFill="1" applyBorder="1" applyAlignment="1">
      <alignment horizontal="center" vertical="center"/>
    </xf>
    <xf numFmtId="10" fontId="0" fillId="6" borderId="0" xfId="0" applyNumberForma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9" fontId="0" fillId="6" borderId="7" xfId="0" applyNumberFormat="1" applyFill="1" applyBorder="1" applyAlignment="1">
      <alignment horizontal="center" vertical="center"/>
    </xf>
    <xf numFmtId="10" fontId="0" fillId="6" borderId="10" xfId="0" applyNumberFormat="1" applyFill="1" applyBorder="1" applyAlignment="1">
      <alignment horizontal="center" vertical="center"/>
    </xf>
    <xf numFmtId="9" fontId="0" fillId="6" borderId="2" xfId="0" applyNumberFormat="1" applyFill="1" applyBorder="1" applyAlignment="1">
      <alignment horizontal="center" vertical="center"/>
    </xf>
    <xf numFmtId="9" fontId="0" fillId="6" borderId="0" xfId="0" applyNumberFormat="1" applyFill="1" applyBorder="1" applyAlignment="1">
      <alignment horizontal="center" vertical="center"/>
    </xf>
    <xf numFmtId="9" fontId="0" fillId="6" borderId="10" xfId="0" applyNumberFormat="1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 vertical="center"/>
    </xf>
    <xf numFmtId="10" fontId="0" fillId="5" borderId="0" xfId="0" applyNumberFormat="1" applyFill="1" applyBorder="1" applyAlignment="1">
      <alignment horizontal="center" vertical="center"/>
    </xf>
    <xf numFmtId="10" fontId="0" fillId="5" borderId="7" xfId="0" applyNumberFormat="1" applyFill="1" applyBorder="1" applyAlignment="1">
      <alignment horizontal="center" vertical="center"/>
    </xf>
    <xf numFmtId="9" fontId="0" fillId="5" borderId="2" xfId="0" applyNumberFormat="1" applyFill="1" applyBorder="1" applyAlignment="1">
      <alignment horizontal="center" vertical="center"/>
    </xf>
    <xf numFmtId="9" fontId="0" fillId="5" borderId="0" xfId="0" applyNumberFormat="1" applyFill="1" applyBorder="1" applyAlignment="1">
      <alignment horizontal="center" vertical="center"/>
    </xf>
    <xf numFmtId="9" fontId="0" fillId="5" borderId="7" xfId="0" applyNumberFormat="1" applyFill="1" applyBorder="1" applyAlignment="1">
      <alignment horizontal="center" vertical="center"/>
    </xf>
    <xf numFmtId="9" fontId="0" fillId="7" borderId="0" xfId="0" applyNumberFormat="1" applyFill="1" applyBorder="1" applyAlignment="1">
      <alignment horizontal="center" vertical="center"/>
    </xf>
    <xf numFmtId="9" fontId="0" fillId="7" borderId="7" xfId="0" applyNumberFormat="1" applyFill="1" applyBorder="1" applyAlignment="1">
      <alignment horizontal="center" vertical="center"/>
    </xf>
    <xf numFmtId="10" fontId="0" fillId="7" borderId="0" xfId="0" applyNumberFormat="1" applyFill="1" applyBorder="1" applyAlignment="1">
      <alignment horizontal="center" vertical="center"/>
    </xf>
    <xf numFmtId="10" fontId="0" fillId="7" borderId="7" xfId="0" applyNumberFormat="1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9" fontId="0" fillId="7" borderId="10" xfId="0" applyNumberFormat="1" applyFill="1" applyBorder="1" applyAlignment="1">
      <alignment horizontal="center" vertical="center"/>
    </xf>
    <xf numFmtId="9" fontId="0" fillId="7" borderId="2" xfId="0" applyNumberFormat="1" applyFill="1" applyBorder="1" applyAlignment="1">
      <alignment horizontal="center" vertical="center"/>
    </xf>
    <xf numFmtId="9" fontId="0" fillId="4" borderId="2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6" borderId="7" xfId="0" applyNumberFormat="1" applyFill="1" applyBorder="1" applyAlignment="1">
      <alignment horizontal="center" vertical="center"/>
    </xf>
    <xf numFmtId="0" fontId="0" fillId="0" borderId="1" xfId="0" applyBorder="1"/>
    <xf numFmtId="10" fontId="0" fillId="0" borderId="5" xfId="0" applyNumberFormat="1" applyBorder="1"/>
    <xf numFmtId="9" fontId="0" fillId="0" borderId="5" xfId="0" applyNumberFormat="1" applyBorder="1"/>
    <xf numFmtId="0" fontId="0" fillId="4" borderId="4" xfId="0" applyFill="1" applyBorder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0" fontId="0" fillId="5" borderId="5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0" fontId="0" fillId="7" borderId="8" xfId="0" applyNumberFormat="1" applyFill="1" applyBorder="1" applyAlignment="1">
      <alignment horizontal="center" vertical="center"/>
    </xf>
    <xf numFmtId="9" fontId="0" fillId="4" borderId="5" xfId="0" applyNumberFormat="1" applyFill="1" applyBorder="1" applyAlignment="1">
      <alignment horizontal="center" vertical="center"/>
    </xf>
    <xf numFmtId="9" fontId="0" fillId="5" borderId="5" xfId="0" applyNumberFormat="1" applyFill="1" applyBorder="1" applyAlignment="1">
      <alignment horizontal="center" vertical="center"/>
    </xf>
    <xf numFmtId="9" fontId="0" fillId="7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4F15-9889-4208-A752-6A43E6A4193D}">
  <dimension ref="A1:O36"/>
  <sheetViews>
    <sheetView tabSelected="1" zoomScale="80" zoomScaleNormal="80" workbookViewId="0">
      <selection activeCell="Q22" sqref="Q22"/>
    </sheetView>
  </sheetViews>
  <sheetFormatPr defaultRowHeight="15" x14ac:dyDescent="0.25"/>
  <cols>
    <col min="1" max="1" width="16" customWidth="1"/>
    <col min="2" max="2" width="9" customWidth="1"/>
    <col min="3" max="3" width="10.42578125" customWidth="1"/>
    <col min="4" max="4" width="61.5703125" customWidth="1"/>
    <col min="5" max="5" width="1.5703125" customWidth="1"/>
    <col min="6" max="6" width="16" customWidth="1"/>
    <col min="7" max="7" width="8.7109375" customWidth="1"/>
    <col min="8" max="8" width="10.140625" customWidth="1"/>
    <col min="9" max="9" width="62.140625" customWidth="1"/>
    <col min="10" max="10" width="1.5703125" customWidth="1"/>
    <col min="11" max="11" width="15.85546875" customWidth="1"/>
    <col min="12" max="13" width="9.85546875" customWidth="1"/>
    <col min="14" max="14" width="62.140625" customWidth="1"/>
  </cols>
  <sheetData>
    <row r="1" spans="1:15" x14ac:dyDescent="0.25">
      <c r="A1" s="69" t="s">
        <v>56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5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4"/>
    </row>
    <row r="3" spans="1:15" x14ac:dyDescent="0.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4"/>
    </row>
    <row r="4" spans="1:15" ht="24" customHeight="1" x14ac:dyDescent="0.25">
      <c r="A4" s="36" t="s">
        <v>0</v>
      </c>
      <c r="B4" s="37"/>
      <c r="C4" s="37"/>
      <c r="D4" s="38"/>
      <c r="F4" s="36" t="s">
        <v>40</v>
      </c>
      <c r="G4" s="37"/>
      <c r="H4" s="37"/>
      <c r="I4" s="38"/>
      <c r="K4" s="39" t="s">
        <v>48</v>
      </c>
      <c r="L4" s="40"/>
      <c r="M4" s="40"/>
      <c r="N4" s="41"/>
    </row>
    <row r="5" spans="1:15" x14ac:dyDescent="0.25">
      <c r="A5" s="5" t="s">
        <v>22</v>
      </c>
      <c r="B5" s="6"/>
      <c r="C5" s="6" t="s">
        <v>21</v>
      </c>
      <c r="D5" s="7" t="s">
        <v>44</v>
      </c>
      <c r="F5" s="5" t="s">
        <v>22</v>
      </c>
      <c r="G5" s="6"/>
      <c r="H5" s="6" t="s">
        <v>21</v>
      </c>
      <c r="I5" s="7" t="s">
        <v>44</v>
      </c>
      <c r="K5" s="35" t="s">
        <v>22</v>
      </c>
      <c r="L5" s="35"/>
      <c r="M5" s="35" t="s">
        <v>21</v>
      </c>
      <c r="N5" s="35" t="s">
        <v>44</v>
      </c>
    </row>
    <row r="6" spans="1:15" x14ac:dyDescent="0.25">
      <c r="A6" s="13" t="s">
        <v>1</v>
      </c>
      <c r="B6" s="8">
        <v>0.72499999999999998</v>
      </c>
      <c r="C6" s="42">
        <v>0.1</v>
      </c>
      <c r="D6" s="9" t="s">
        <v>2</v>
      </c>
      <c r="F6" s="13" t="s">
        <v>1</v>
      </c>
      <c r="G6" s="8">
        <v>0.35499999999999998</v>
      </c>
      <c r="H6" s="42">
        <v>0.1</v>
      </c>
      <c r="I6" s="9" t="s">
        <v>25</v>
      </c>
      <c r="K6" s="29" t="s">
        <v>1</v>
      </c>
      <c r="L6" s="30">
        <v>0.16</v>
      </c>
      <c r="M6" s="68">
        <v>7.0000000000000007E-2</v>
      </c>
      <c r="N6" s="18" t="s">
        <v>2</v>
      </c>
    </row>
    <row r="7" spans="1:15" x14ac:dyDescent="0.25">
      <c r="A7" s="13"/>
      <c r="B7" s="8"/>
      <c r="C7" s="42">
        <v>0.1</v>
      </c>
      <c r="D7" s="9" t="s">
        <v>29</v>
      </c>
      <c r="F7" s="13"/>
      <c r="G7" s="8"/>
      <c r="H7" s="42">
        <v>0.1</v>
      </c>
      <c r="I7" s="9" t="s">
        <v>29</v>
      </c>
      <c r="K7" s="22"/>
      <c r="L7" s="23"/>
      <c r="M7" s="42">
        <v>0.05</v>
      </c>
      <c r="N7" s="9" t="s">
        <v>29</v>
      </c>
    </row>
    <row r="8" spans="1:15" x14ac:dyDescent="0.25">
      <c r="A8" s="13"/>
      <c r="B8" s="8"/>
      <c r="C8" s="42">
        <v>0.2</v>
      </c>
      <c r="D8" s="9" t="s">
        <v>3</v>
      </c>
      <c r="F8" s="13"/>
      <c r="G8" s="8"/>
      <c r="H8" s="55">
        <v>7.4999999999999997E-2</v>
      </c>
      <c r="I8" s="9" t="s">
        <v>26</v>
      </c>
      <c r="K8" s="22"/>
      <c r="L8" s="23"/>
      <c r="M8" s="61">
        <v>0.02</v>
      </c>
      <c r="N8" s="9" t="s">
        <v>27</v>
      </c>
    </row>
    <row r="9" spans="1:15" x14ac:dyDescent="0.25">
      <c r="A9" s="13"/>
      <c r="B9" s="8"/>
      <c r="C9" s="43">
        <v>0.06</v>
      </c>
      <c r="D9" s="9" t="s">
        <v>4</v>
      </c>
      <c r="F9" s="13"/>
      <c r="G9" s="8"/>
      <c r="H9" s="48">
        <v>1.4999999999999999E-2</v>
      </c>
      <c r="I9" s="9" t="s">
        <v>27</v>
      </c>
      <c r="K9" s="24"/>
      <c r="L9" s="25"/>
      <c r="M9" s="62">
        <v>0.02</v>
      </c>
      <c r="N9" s="11" t="s">
        <v>28</v>
      </c>
    </row>
    <row r="10" spans="1:15" x14ac:dyDescent="0.25">
      <c r="A10" s="13"/>
      <c r="B10" s="8"/>
      <c r="C10" s="43">
        <v>0.06</v>
      </c>
      <c r="D10" s="9" t="s">
        <v>5</v>
      </c>
      <c r="F10" s="13"/>
      <c r="G10" s="8"/>
      <c r="H10" s="48">
        <v>1.4999999999999999E-2</v>
      </c>
      <c r="I10" s="9" t="s">
        <v>28</v>
      </c>
      <c r="K10" s="29" t="s">
        <v>10</v>
      </c>
      <c r="L10" s="17">
        <v>0.27500000000000002</v>
      </c>
      <c r="M10" s="46">
        <v>0.13500000000000001</v>
      </c>
      <c r="N10" s="18" t="s">
        <v>11</v>
      </c>
    </row>
    <row r="11" spans="1:15" x14ac:dyDescent="0.25">
      <c r="A11" s="13"/>
      <c r="B11" s="8"/>
      <c r="C11" s="42">
        <v>0.05</v>
      </c>
      <c r="D11" s="9" t="s">
        <v>6</v>
      </c>
      <c r="F11" s="13"/>
      <c r="G11" s="8"/>
      <c r="H11" s="56">
        <v>2.5000000000000001E-2</v>
      </c>
      <c r="I11" s="9" t="s">
        <v>8</v>
      </c>
      <c r="K11" s="22"/>
      <c r="L11" s="23"/>
      <c r="M11" s="63">
        <v>0.05</v>
      </c>
      <c r="N11" s="9" t="s">
        <v>12</v>
      </c>
    </row>
    <row r="12" spans="1:15" x14ac:dyDescent="0.25">
      <c r="A12" s="13"/>
      <c r="B12" s="8"/>
      <c r="C12" s="42">
        <v>0.05</v>
      </c>
      <c r="D12" s="9" t="s">
        <v>7</v>
      </c>
      <c r="F12" s="14"/>
      <c r="G12" s="10"/>
      <c r="H12" s="57">
        <v>2.5000000000000001E-2</v>
      </c>
      <c r="I12" s="11" t="s">
        <v>9</v>
      </c>
      <c r="K12" s="22"/>
      <c r="L12" s="23"/>
      <c r="M12" s="63">
        <v>0.02</v>
      </c>
      <c r="N12" s="9" t="s">
        <v>45</v>
      </c>
    </row>
    <row r="13" spans="1:15" x14ac:dyDescent="0.25">
      <c r="A13" s="13"/>
      <c r="B13" s="8"/>
      <c r="C13" s="45">
        <v>2.5000000000000001E-2</v>
      </c>
      <c r="D13" s="9" t="s">
        <v>8</v>
      </c>
      <c r="F13" s="12"/>
      <c r="G13" s="2"/>
      <c r="H13" s="2"/>
      <c r="I13" s="2"/>
      <c r="K13" s="22"/>
      <c r="L13" s="23"/>
      <c r="M13" s="63">
        <v>0.02</v>
      </c>
      <c r="N13" s="9" t="s">
        <v>46</v>
      </c>
    </row>
    <row r="14" spans="1:15" x14ac:dyDescent="0.25">
      <c r="A14" s="13"/>
      <c r="B14" s="8"/>
      <c r="C14" s="45">
        <v>2.5000000000000001E-2</v>
      </c>
      <c r="D14" s="9" t="s">
        <v>9</v>
      </c>
      <c r="F14" s="15" t="s">
        <v>10</v>
      </c>
      <c r="G14" s="16">
        <v>0.22500000000000001</v>
      </c>
      <c r="H14" s="46">
        <v>0.13500000000000001</v>
      </c>
      <c r="I14" s="18" t="s">
        <v>11</v>
      </c>
      <c r="K14" s="24"/>
      <c r="L14" s="25"/>
      <c r="M14" s="64">
        <v>0.05</v>
      </c>
      <c r="N14" s="11" t="s">
        <v>20</v>
      </c>
    </row>
    <row r="15" spans="1:15" x14ac:dyDescent="0.25">
      <c r="A15" s="13"/>
      <c r="B15" s="8"/>
      <c r="C15" s="43">
        <v>2.75E-2</v>
      </c>
      <c r="D15" s="9" t="s">
        <v>23</v>
      </c>
      <c r="F15" s="13"/>
      <c r="G15" s="8"/>
      <c r="H15" s="48">
        <v>0.05</v>
      </c>
      <c r="I15" s="9" t="s">
        <v>12</v>
      </c>
      <c r="K15" s="12"/>
      <c r="L15" s="2"/>
      <c r="M15" s="2"/>
      <c r="N15" s="2"/>
    </row>
    <row r="16" spans="1:15" x14ac:dyDescent="0.25">
      <c r="A16" s="14"/>
      <c r="B16" s="10"/>
      <c r="C16" s="44">
        <v>2.75E-2</v>
      </c>
      <c r="D16" s="11" t="s">
        <v>24</v>
      </c>
      <c r="F16" s="14"/>
      <c r="G16" s="10"/>
      <c r="H16" s="49">
        <v>0.04</v>
      </c>
      <c r="I16" s="11" t="s">
        <v>20</v>
      </c>
      <c r="K16" s="19" t="s">
        <v>13</v>
      </c>
      <c r="L16" s="20">
        <v>7.4999999999999997E-2</v>
      </c>
      <c r="M16" s="65">
        <v>7.4999999999999997E-2</v>
      </c>
      <c r="N16" s="21" t="s">
        <v>15</v>
      </c>
    </row>
    <row r="17" spans="1:14" x14ac:dyDescent="0.25">
      <c r="A17" s="12"/>
      <c r="B17" s="2"/>
      <c r="C17" s="2"/>
      <c r="D17" s="2"/>
      <c r="F17" s="12"/>
      <c r="G17" s="2"/>
      <c r="H17" s="2"/>
      <c r="I17" s="2"/>
      <c r="K17" s="12"/>
      <c r="L17" s="2"/>
      <c r="M17" s="2"/>
      <c r="N17" s="2"/>
    </row>
    <row r="18" spans="1:14" x14ac:dyDescent="0.25">
      <c r="A18" s="15" t="s">
        <v>10</v>
      </c>
      <c r="B18" s="16">
        <v>0.125</v>
      </c>
      <c r="C18" s="46">
        <v>7.4999999999999997E-2</v>
      </c>
      <c r="D18" s="18" t="s">
        <v>11</v>
      </c>
      <c r="F18" s="15" t="s">
        <v>13</v>
      </c>
      <c r="G18" s="32">
        <v>0.1</v>
      </c>
      <c r="H18" s="46">
        <v>7.0000000000000007E-2</v>
      </c>
      <c r="I18" s="18" t="s">
        <v>14</v>
      </c>
      <c r="K18" s="15" t="s">
        <v>30</v>
      </c>
      <c r="L18" s="32">
        <v>0.1</v>
      </c>
      <c r="M18" s="58">
        <v>0.05</v>
      </c>
      <c r="N18" s="18" t="s">
        <v>34</v>
      </c>
    </row>
    <row r="19" spans="1:14" x14ac:dyDescent="0.25">
      <c r="A19" s="13"/>
      <c r="B19" s="8"/>
      <c r="C19" s="48">
        <v>2.5000000000000001E-2</v>
      </c>
      <c r="D19" s="9" t="s">
        <v>12</v>
      </c>
      <c r="F19" s="14"/>
      <c r="G19" s="33"/>
      <c r="H19" s="49">
        <v>0.03</v>
      </c>
      <c r="I19" s="11" t="s">
        <v>15</v>
      </c>
      <c r="K19" s="14"/>
      <c r="L19" s="33"/>
      <c r="M19" s="60">
        <v>0.05</v>
      </c>
      <c r="N19" s="11" t="s">
        <v>33</v>
      </c>
    </row>
    <row r="20" spans="1:14" x14ac:dyDescent="0.25">
      <c r="A20" s="14"/>
      <c r="B20" s="10"/>
      <c r="C20" s="49">
        <v>2.5000000000000001E-2</v>
      </c>
      <c r="D20" s="11" t="s">
        <v>20</v>
      </c>
      <c r="F20" s="12"/>
      <c r="G20" s="2"/>
      <c r="H20" s="2"/>
      <c r="I20" s="2"/>
      <c r="K20" s="12"/>
      <c r="L20" s="2"/>
      <c r="M20" s="2"/>
      <c r="N20" s="2"/>
    </row>
    <row r="21" spans="1:14" x14ac:dyDescent="0.25">
      <c r="A21" s="12"/>
      <c r="B21" s="2"/>
      <c r="C21" s="2"/>
      <c r="D21" s="2"/>
      <c r="F21" s="15" t="s">
        <v>30</v>
      </c>
      <c r="G21" s="32">
        <v>0.14000000000000001</v>
      </c>
      <c r="H21" s="58">
        <v>0.03</v>
      </c>
      <c r="I21" s="18" t="s">
        <v>31</v>
      </c>
      <c r="K21" s="19" t="s">
        <v>47</v>
      </c>
      <c r="L21" s="20">
        <v>2.5000000000000001E-2</v>
      </c>
      <c r="M21" s="47">
        <v>2.5000000000000001E-2</v>
      </c>
      <c r="N21" s="21" t="s">
        <v>16</v>
      </c>
    </row>
    <row r="22" spans="1:14" x14ac:dyDescent="0.25">
      <c r="A22" s="15" t="s">
        <v>13</v>
      </c>
      <c r="B22" s="16">
        <v>6.5000000000000002E-2</v>
      </c>
      <c r="C22" s="46">
        <v>0.04</v>
      </c>
      <c r="D22" s="18" t="s">
        <v>14</v>
      </c>
      <c r="F22" s="13"/>
      <c r="G22" s="34"/>
      <c r="H22" s="59">
        <v>0.03</v>
      </c>
      <c r="I22" s="9" t="s">
        <v>32</v>
      </c>
      <c r="K22" s="12"/>
      <c r="L22" s="2"/>
      <c r="M22" s="2"/>
      <c r="N22" s="2"/>
    </row>
    <row r="23" spans="1:14" x14ac:dyDescent="0.25">
      <c r="A23" s="14"/>
      <c r="B23" s="10"/>
      <c r="C23" s="70">
        <v>2.5000000000000001E-2</v>
      </c>
      <c r="D23" s="11" t="s">
        <v>15</v>
      </c>
      <c r="F23" s="13"/>
      <c r="G23" s="34"/>
      <c r="H23" s="59">
        <v>0.04</v>
      </c>
      <c r="I23" s="9" t="s">
        <v>34</v>
      </c>
      <c r="K23" s="19" t="s">
        <v>41</v>
      </c>
      <c r="L23" s="31">
        <v>0.05</v>
      </c>
      <c r="M23" s="66">
        <v>0.05</v>
      </c>
      <c r="N23" s="21" t="s">
        <v>17</v>
      </c>
    </row>
    <row r="24" spans="1:14" x14ac:dyDescent="0.25">
      <c r="A24" s="12"/>
      <c r="B24" s="1"/>
      <c r="C24" s="3"/>
      <c r="D24" s="2"/>
      <c r="F24" s="14"/>
      <c r="G24" s="33"/>
      <c r="H24" s="60">
        <v>0.04</v>
      </c>
      <c r="I24" s="11" t="s">
        <v>33</v>
      </c>
      <c r="K24" s="12"/>
      <c r="L24" s="2"/>
      <c r="M24" s="2"/>
      <c r="N24" s="2"/>
    </row>
    <row r="25" spans="1:14" x14ac:dyDescent="0.25">
      <c r="A25" s="12"/>
      <c r="B25" s="2"/>
      <c r="C25" s="2"/>
      <c r="D25" s="2"/>
      <c r="F25" s="12"/>
      <c r="G25" s="2"/>
      <c r="H25" s="2"/>
      <c r="I25" s="2"/>
      <c r="K25" s="19" t="s">
        <v>18</v>
      </c>
      <c r="L25" s="20">
        <v>9.5000000000000001E-2</v>
      </c>
      <c r="M25" s="65">
        <v>9.5000000000000001E-2</v>
      </c>
      <c r="N25" s="21" t="s">
        <v>19</v>
      </c>
    </row>
    <row r="26" spans="1:14" x14ac:dyDescent="0.25">
      <c r="A26" s="19" t="s">
        <v>47</v>
      </c>
      <c r="B26" s="20">
        <v>2.5000000000000001E-2</v>
      </c>
      <c r="C26" s="47">
        <v>2.5000000000000001E-2</v>
      </c>
      <c r="D26" s="21" t="s">
        <v>16</v>
      </c>
      <c r="F26" s="19" t="s">
        <v>47</v>
      </c>
      <c r="G26" s="20">
        <v>2.5000000000000001E-2</v>
      </c>
      <c r="H26" s="47">
        <v>2.5000000000000001E-2</v>
      </c>
      <c r="I26" s="21" t="s">
        <v>16</v>
      </c>
      <c r="K26" s="12"/>
      <c r="L26" s="2"/>
      <c r="M26" s="2"/>
      <c r="N26" s="2"/>
    </row>
    <row r="27" spans="1:14" x14ac:dyDescent="0.25">
      <c r="A27" s="12"/>
      <c r="B27" s="2"/>
      <c r="C27" s="2"/>
      <c r="D27" s="2"/>
      <c r="F27" s="12"/>
      <c r="G27" s="2"/>
      <c r="H27" s="2"/>
      <c r="I27" s="2"/>
      <c r="K27" s="19" t="s">
        <v>43</v>
      </c>
      <c r="L27" s="31">
        <v>0.15</v>
      </c>
      <c r="M27" s="66">
        <v>0.15</v>
      </c>
      <c r="N27" s="21" t="s">
        <v>35</v>
      </c>
    </row>
    <row r="28" spans="1:14" x14ac:dyDescent="0.25">
      <c r="A28" s="19" t="s">
        <v>41</v>
      </c>
      <c r="B28" s="20">
        <v>2.5000000000000001E-2</v>
      </c>
      <c r="C28" s="51">
        <v>2.5000000000000001E-2</v>
      </c>
      <c r="D28" s="21" t="s">
        <v>17</v>
      </c>
      <c r="F28" s="19" t="s">
        <v>42</v>
      </c>
      <c r="G28" s="20">
        <v>3.5000000000000003E-2</v>
      </c>
      <c r="H28" s="51">
        <v>3.5000000000000003E-2</v>
      </c>
      <c r="I28" s="21" t="s">
        <v>17</v>
      </c>
      <c r="K28" s="12"/>
      <c r="L28" s="2"/>
      <c r="M28" s="2"/>
      <c r="N28" s="2"/>
    </row>
    <row r="29" spans="1:14" x14ac:dyDescent="0.25">
      <c r="A29" s="12"/>
      <c r="B29" s="2"/>
      <c r="C29" s="2"/>
      <c r="D29" s="2"/>
      <c r="F29" s="12"/>
      <c r="G29" s="2"/>
      <c r="H29" s="2"/>
      <c r="I29" s="2"/>
      <c r="K29" s="15" t="s">
        <v>36</v>
      </c>
      <c r="L29" s="32">
        <v>7.0000000000000007E-2</v>
      </c>
      <c r="M29" s="67">
        <v>0.03</v>
      </c>
      <c r="N29" s="18" t="s">
        <v>37</v>
      </c>
    </row>
    <row r="30" spans="1:14" x14ac:dyDescent="0.25">
      <c r="A30" s="19" t="s">
        <v>18</v>
      </c>
      <c r="B30" s="20">
        <v>3.5000000000000003E-2</v>
      </c>
      <c r="C30" s="51">
        <v>3.5000000000000003E-2</v>
      </c>
      <c r="D30" s="21" t="s">
        <v>19</v>
      </c>
      <c r="F30" s="19" t="s">
        <v>18</v>
      </c>
      <c r="G30" s="31">
        <v>0.04</v>
      </c>
      <c r="H30" s="54">
        <v>0.04</v>
      </c>
      <c r="I30" s="21" t="s">
        <v>19</v>
      </c>
      <c r="K30" s="13"/>
      <c r="L30" s="34"/>
      <c r="M30" s="61">
        <v>0.02</v>
      </c>
      <c r="N30" s="9" t="s">
        <v>38</v>
      </c>
    </row>
    <row r="31" spans="1:14" x14ac:dyDescent="0.25">
      <c r="F31" s="12"/>
      <c r="G31" s="2"/>
      <c r="H31" s="2"/>
      <c r="I31" s="2"/>
      <c r="K31" s="14"/>
      <c r="L31" s="33"/>
      <c r="M31" s="62">
        <v>0.02</v>
      </c>
      <c r="N31" s="11" t="s">
        <v>39</v>
      </c>
    </row>
    <row r="32" spans="1:14" x14ac:dyDescent="0.25">
      <c r="F32" s="19" t="s">
        <v>43</v>
      </c>
      <c r="G32" s="31">
        <v>0.05</v>
      </c>
      <c r="H32" s="54">
        <v>0.05</v>
      </c>
      <c r="I32" s="21" t="s">
        <v>35</v>
      </c>
    </row>
    <row r="33" spans="6:9" x14ac:dyDescent="0.25">
      <c r="F33" s="12"/>
      <c r="G33" s="2"/>
      <c r="H33" s="2"/>
      <c r="I33" s="2"/>
    </row>
    <row r="34" spans="6:9" x14ac:dyDescent="0.25">
      <c r="F34" s="15" t="s">
        <v>36</v>
      </c>
      <c r="G34" s="32">
        <v>0.03</v>
      </c>
      <c r="H34" s="52">
        <v>0.01</v>
      </c>
      <c r="I34" s="18" t="s">
        <v>37</v>
      </c>
    </row>
    <row r="35" spans="6:9" x14ac:dyDescent="0.25">
      <c r="F35" s="13"/>
      <c r="G35" s="34"/>
      <c r="H35" s="53">
        <v>0.01</v>
      </c>
      <c r="I35" s="9" t="s">
        <v>38</v>
      </c>
    </row>
    <row r="36" spans="6:9" x14ac:dyDescent="0.25">
      <c r="F36" s="14"/>
      <c r="G36" s="33"/>
      <c r="H36" s="50">
        <v>0.01</v>
      </c>
      <c r="I36" s="11" t="s">
        <v>39</v>
      </c>
    </row>
  </sheetData>
  <mergeCells count="24">
    <mergeCell ref="A1:N3"/>
    <mergeCell ref="F4:I4"/>
    <mergeCell ref="K4:N4"/>
    <mergeCell ref="K29:K31"/>
    <mergeCell ref="L29:L31"/>
    <mergeCell ref="K18:K19"/>
    <mergeCell ref="L18:L19"/>
    <mergeCell ref="G14:G16"/>
    <mergeCell ref="F18:F19"/>
    <mergeCell ref="G18:G19"/>
    <mergeCell ref="F21:F24"/>
    <mergeCell ref="G21:G24"/>
    <mergeCell ref="F34:F36"/>
    <mergeCell ref="G34:G36"/>
    <mergeCell ref="A18:A20"/>
    <mergeCell ref="B18:B20"/>
    <mergeCell ref="A22:A23"/>
    <mergeCell ref="B22:B23"/>
    <mergeCell ref="B6:B16"/>
    <mergeCell ref="A6:A16"/>
    <mergeCell ref="A4:D4"/>
    <mergeCell ref="F6:F12"/>
    <mergeCell ref="G6:G12"/>
    <mergeCell ref="F14:F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C4FA-707B-4F04-A037-5F0E8C2418A7}">
  <dimension ref="C3:J11"/>
  <sheetViews>
    <sheetView workbookViewId="0">
      <selection activeCell="T36" sqref="T36"/>
    </sheetView>
  </sheetViews>
  <sheetFormatPr defaultRowHeight="15" x14ac:dyDescent="0.25"/>
  <cols>
    <col min="3" max="3" width="22.85546875" customWidth="1"/>
    <col min="6" max="6" width="22.85546875" customWidth="1"/>
    <col min="9" max="9" width="22.85546875" customWidth="1"/>
  </cols>
  <sheetData>
    <row r="3" spans="3:10" x14ac:dyDescent="0.25">
      <c r="C3" s="71" t="s">
        <v>0</v>
      </c>
      <c r="D3" s="26"/>
      <c r="F3" s="71" t="s">
        <v>40</v>
      </c>
      <c r="G3" s="26"/>
      <c r="I3" s="71" t="s">
        <v>48</v>
      </c>
      <c r="J3" s="26"/>
    </row>
    <row r="4" spans="3:10" x14ac:dyDescent="0.25">
      <c r="C4" s="27" t="s">
        <v>50</v>
      </c>
      <c r="D4" s="72">
        <f>SUM('ALOCAÇÃO POR CLASSE'!C8,'ALOCAÇÃO POR CLASSE'!C9,'ALOCAÇÃO POR CLASSE'!C10,'ALOCAÇÃO POR CLASSE'!C11,'ALOCAÇÃO POR CLASSE'!C12,'ALOCAÇÃO POR CLASSE'!C26,'ALOCAÇÃO POR CLASSE'!C28,'ALOCAÇÃO POR CLASSE'!C30)</f>
        <v>0.505</v>
      </c>
      <c r="F4" s="27" t="s">
        <v>50</v>
      </c>
      <c r="G4" s="72">
        <f>SUM('ALOCAÇÃO POR CLASSE'!H6,'ALOCAÇÃO POR CLASSE'!H8,'ALOCAÇÃO POR CLASSE'!H26,'ALOCAÇÃO POR CLASSE'!H28,'ALOCAÇÃO POR CLASSE'!H30,'ALOCAÇÃO POR CLASSE'!H32,'ALOCAÇÃO POR CLASSE'!H34,'ALOCAÇÃO POR CLASSE'!H35,'ALOCAÇÃO POR CLASSE'!H36)</f>
        <v>0.35499999999999998</v>
      </c>
      <c r="I4" s="27" t="s">
        <v>50</v>
      </c>
      <c r="J4" s="73">
        <f>SUM('ALOCAÇÃO POR CLASSE'!M21,'ALOCAÇÃO POR CLASSE'!M23,'ALOCAÇÃO POR CLASSE'!M25,'ALOCAÇÃO POR CLASSE'!M27,'ALOCAÇÃO POR CLASSE'!M29,'ALOCAÇÃO POR CLASSE'!M30,'ALOCAÇÃO POR CLASSE'!M31)</f>
        <v>0.39</v>
      </c>
    </row>
    <row r="5" spans="3:10" x14ac:dyDescent="0.25">
      <c r="C5" s="27" t="s">
        <v>49</v>
      </c>
      <c r="D5" s="72">
        <f>SUM('ALOCAÇÃO POR CLASSE'!C6,'ALOCAÇÃO POR CLASSE'!C7,'ALOCAÇÃO POR CLASSE'!C18,'ALOCAÇÃO POR CLASSE'!C19,'ALOCAÇÃO POR CLASSE'!C22,'ALOCAÇÃO POR CLASSE'!C23)</f>
        <v>0.36500000000000005</v>
      </c>
      <c r="F5" s="27" t="s">
        <v>49</v>
      </c>
      <c r="G5" s="72">
        <f>SUM('ALOCAÇÃO POR CLASSE'!H7,'ALOCAÇÃO POR CLASSE'!H14,'ALOCAÇÃO POR CLASSE'!H15,'ALOCAÇÃO POR CLASSE'!H18,'ALOCAÇÃO POR CLASSE'!H19)</f>
        <v>0.38500000000000001</v>
      </c>
      <c r="I5" s="27" t="s">
        <v>49</v>
      </c>
      <c r="J5" s="72">
        <f>SUM('ALOCAÇÃO POR CLASSE'!M6,'ALOCAÇÃO POR CLASSE'!M7,'ALOCAÇÃO POR CLASSE'!M10:M13,'ALOCAÇÃO POR CLASSE'!M16)</f>
        <v>0.42000000000000004</v>
      </c>
    </row>
    <row r="6" spans="3:10" x14ac:dyDescent="0.25">
      <c r="C6" s="27" t="s">
        <v>51</v>
      </c>
      <c r="D6" s="73">
        <f>SUM('ALOCAÇÃO POR CLASSE'!C15,'ALOCAÇÃO POR CLASSE'!C16,'ALOCAÇÃO POR CLASSE'!C20)</f>
        <v>0.08</v>
      </c>
      <c r="F6" s="27" t="s">
        <v>51</v>
      </c>
      <c r="G6" s="72">
        <f>SUM('ALOCAÇÃO POR CLASSE'!H16,'ALOCAÇÃO POR CLASSE'!H23,'ALOCAÇÃO POR CLASSE'!H24)</f>
        <v>0.12</v>
      </c>
      <c r="I6" s="27" t="s">
        <v>51</v>
      </c>
      <c r="J6" s="72">
        <f>SUM('ALOCAÇÃO POR CLASSE'!M14,'ALOCAÇÃO POR CLASSE'!M18,'ALOCAÇÃO POR CLASSE'!M19)</f>
        <v>0.15000000000000002</v>
      </c>
    </row>
    <row r="7" spans="3:10" x14ac:dyDescent="0.25">
      <c r="C7" s="27" t="s">
        <v>52</v>
      </c>
      <c r="D7" s="73">
        <f>SUM('ALOCAÇÃO POR CLASSE'!C13,'ALOCAÇÃO POR CLASSE'!C14)</f>
        <v>0.05</v>
      </c>
      <c r="F7" s="27" t="s">
        <v>52</v>
      </c>
      <c r="G7" s="73">
        <f>SUM('ALOCAÇÃO POR CLASSE'!H9,'ALOCAÇÃO POR CLASSE'!H10,'ALOCAÇÃO POR CLASSE'!H11,'ALOCAÇÃO POR CLASSE'!H12,'ALOCAÇÃO POR CLASSE'!H21,'ALOCAÇÃO POR CLASSE'!H22)</f>
        <v>0.14000000000000001</v>
      </c>
      <c r="I7" s="27" t="s">
        <v>52</v>
      </c>
      <c r="J7" s="73">
        <f>SUM('ALOCAÇÃO POR CLASSE'!M8,'ALOCAÇÃO POR CLASSE'!M9)</f>
        <v>0.04</v>
      </c>
    </row>
    <row r="8" spans="3:10" x14ac:dyDescent="0.25">
      <c r="C8" s="27"/>
      <c r="D8" s="28"/>
      <c r="F8" s="27"/>
      <c r="G8" s="28"/>
      <c r="I8" s="27"/>
      <c r="J8" s="28"/>
    </row>
    <row r="9" spans="3:10" x14ac:dyDescent="0.25">
      <c r="C9" s="74" t="s">
        <v>53</v>
      </c>
      <c r="D9" s="75">
        <v>0.67500000000000004</v>
      </c>
      <c r="E9" s="2"/>
      <c r="F9" s="74" t="s">
        <v>53</v>
      </c>
      <c r="G9" s="75">
        <v>0.28499999999999998</v>
      </c>
      <c r="H9" s="2"/>
      <c r="I9" s="74" t="s">
        <v>53</v>
      </c>
      <c r="J9" s="80">
        <v>0.12</v>
      </c>
    </row>
    <row r="10" spans="3:10" x14ac:dyDescent="0.25">
      <c r="C10" s="76" t="s">
        <v>54</v>
      </c>
      <c r="D10" s="77">
        <v>0.19</v>
      </c>
      <c r="E10" s="2"/>
      <c r="F10" s="76" t="s">
        <v>54</v>
      </c>
      <c r="G10" s="77">
        <v>0.41</v>
      </c>
      <c r="H10" s="2"/>
      <c r="I10" s="76" t="s">
        <v>54</v>
      </c>
      <c r="J10" s="81">
        <v>0.26</v>
      </c>
    </row>
    <row r="11" spans="3:10" x14ac:dyDescent="0.25">
      <c r="C11" s="78" t="s">
        <v>55</v>
      </c>
      <c r="D11" s="79">
        <v>0.13500000000000001</v>
      </c>
      <c r="E11" s="2"/>
      <c r="F11" s="78" t="s">
        <v>55</v>
      </c>
      <c r="G11" s="79">
        <v>0.30499999999999999</v>
      </c>
      <c r="H11" s="2"/>
      <c r="I11" s="78" t="s">
        <v>55</v>
      </c>
      <c r="J11" s="82">
        <v>0.62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ALOCAÇÃO POR CLASSE</vt:lpstr>
      <vt:lpstr>COMPOSIÇÃO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Bruno Guimarães Ferreira</cp:lastModifiedBy>
  <dcterms:created xsi:type="dcterms:W3CDTF">2026-06-25T14:19:35Z</dcterms:created>
  <dcterms:modified xsi:type="dcterms:W3CDTF">2026-06-26T14:25:04Z</dcterms:modified>
</cp:coreProperties>
</file>