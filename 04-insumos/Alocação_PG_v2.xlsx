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80a470eb7871e4/Área de Trabalho/"/>
    </mc:Choice>
  </mc:AlternateContent>
  <xr:revisionPtr revIDLastSave="3" documentId="8_{B9390F48-1209-4E66-87C5-97A97361F6F7}" xr6:coauthVersionLast="46" xr6:coauthVersionMax="46" xr10:uidLastSave="{1E96683B-1489-4A45-9DFC-9595590EAEE9}"/>
  <bookViews>
    <workbookView xWindow="-20610" yWindow="-8325" windowWidth="20730" windowHeight="11040" xr2:uid="{70533544-8A4C-4CBD-926F-15882C4396FE}"/>
  </bookViews>
  <sheets>
    <sheet name="ALOCAÇÃO POR CLASSE" sheetId="1" r:id="rId1"/>
    <sheet name="COMPOSIÇÃO" sheetId="2" r:id="rId2"/>
    <sheet name="COMERCIAL TÉCNICO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D7" i="2"/>
  <c r="D6" i="2"/>
  <c r="D5" i="2"/>
  <c r="D4" i="2"/>
  <c r="G4" i="2"/>
  <c r="G7" i="2"/>
  <c r="G6" i="2"/>
  <c r="G5" i="2"/>
</calcChain>
</file>

<file path=xl/sharedStrings.xml><?xml version="1.0" encoding="utf-8"?>
<sst xmlns="http://schemas.openxmlformats.org/spreadsheetml/2006/main" count="126" uniqueCount="58">
  <si>
    <t>CONSERVADOR</t>
  </si>
  <si>
    <t>Pós-fixado</t>
  </si>
  <si>
    <t>Tesouro Selic (maior venc.) / Reserva Estratégica</t>
  </si>
  <si>
    <t>LFTB11</t>
  </si>
  <si>
    <t>NLFA11</t>
  </si>
  <si>
    <t>LFIN11</t>
  </si>
  <si>
    <t>MARG11</t>
  </si>
  <si>
    <t>DEBB11</t>
  </si>
  <si>
    <t>Plural Debentures Incentivadas Hedge 30 FIC FIF RF CP RL</t>
  </si>
  <si>
    <t>XP Debêntures Incentivadas CDI 30</t>
  </si>
  <si>
    <t>Inflação</t>
  </si>
  <si>
    <t>Tesouro IPCA+ Principal com vencimento em 2030 (B30)</t>
  </si>
  <si>
    <t>Tesouro IPCA+ Principal com vencimento em 2035 (B35)</t>
  </si>
  <si>
    <t>Prefixado</t>
  </si>
  <si>
    <t>Tesouro Prefixado Principal com vencimento em 2029 (LTN 2029)</t>
  </si>
  <si>
    <t>Tesouro Prefixado Principal com vencimento em 2032 (LTN 2032)</t>
  </si>
  <si>
    <t>HGBR11</t>
  </si>
  <si>
    <t>SPXR11</t>
  </si>
  <si>
    <t>Fundos Listados</t>
  </si>
  <si>
    <t>Previdência Trend Imab5+ &amp; Bolsa Americana Dólar Xp Seg</t>
  </si>
  <si>
    <t>Alocação</t>
  </si>
  <si>
    <t>Classe de ativo</t>
  </si>
  <si>
    <t>Previdência Bradesco Ultra XP Seg Prev</t>
  </si>
  <si>
    <t>Previdência Brave Prev XP Seg</t>
  </si>
  <si>
    <t>LFTB11 / Reserva Estratégica</t>
  </si>
  <si>
    <t xml:space="preserve"> NLFA11</t>
  </si>
  <si>
    <t>Jive BossaNova High Yield Advisory FIC FIDC</t>
  </si>
  <si>
    <t>Pátria Crédito Estruturado 365 FIDC</t>
  </si>
  <si>
    <r>
      <t xml:space="preserve">Tesouro Selic (maior venc.) / Reserva de Emergência </t>
    </r>
    <r>
      <rPr>
        <sz val="11"/>
        <color rgb="FFFF0000"/>
        <rFont val="Calibri"/>
        <family val="2"/>
        <scheme val="minor"/>
      </rPr>
      <t>(!)</t>
    </r>
  </si>
  <si>
    <t>Multimercados</t>
  </si>
  <si>
    <t>AZ Quest Bayes LS Sistemático FIF em Cotas de FIM</t>
  </si>
  <si>
    <t>AlphaKey Long Short FIC FIM</t>
  </si>
  <si>
    <t>Previdência Arca Grão Prev Xp Seg</t>
  </si>
  <si>
    <t>Previdência Kapitalo K10 Global Prev Xp Seg</t>
  </si>
  <si>
    <t>DIVO11</t>
  </si>
  <si>
    <t>Alternativos</t>
  </si>
  <si>
    <t>GOLX11</t>
  </si>
  <si>
    <t>BCOM39</t>
  </si>
  <si>
    <t>HASH11</t>
  </si>
  <si>
    <t>MODERADO</t>
  </si>
  <si>
    <t>RV Global</t>
  </si>
  <si>
    <t xml:space="preserve">RV Global </t>
  </si>
  <si>
    <t>RV Brasil</t>
  </si>
  <si>
    <t>Produto</t>
  </si>
  <si>
    <t>Tesouro Educa+ Vencimento mais longo</t>
  </si>
  <si>
    <t>RF Global</t>
  </si>
  <si>
    <t>ARROJADO</t>
  </si>
  <si>
    <t>Tesouro Direto</t>
  </si>
  <si>
    <t>ETFs</t>
  </si>
  <si>
    <t>Previdência</t>
  </si>
  <si>
    <t>Fundos de Investimentos</t>
  </si>
  <si>
    <t>C</t>
  </si>
  <si>
    <t>M</t>
  </si>
  <si>
    <t>A</t>
  </si>
  <si>
    <t>ALOCAÇÃO PG</t>
  </si>
  <si>
    <t>RV América Latina</t>
  </si>
  <si>
    <t>BILF39</t>
  </si>
  <si>
    <t>Tesouro IPCA+ Principal com vencimento em 2050 (B50)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</si>
</sst>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7">
    <xf numFmtId="0" fontId="0" fillId="0" borderId="0" xfId="0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10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0" fontId="0" fillId="4" borderId="7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10" fontId="0" fillId="5" borderId="10" xfId="0" applyNumberFormat="1" applyFill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9" fontId="0" fillId="6" borderId="7" xfId="0" applyNumberFormat="1" applyFill="1" applyBorder="1" applyAlignment="1">
      <alignment horizontal="center" vertical="center"/>
    </xf>
    <xf numFmtId="10" fontId="0" fillId="6" borderId="10" xfId="0" applyNumberFormat="1" applyFill="1" applyBorder="1" applyAlignment="1">
      <alignment horizontal="center" vertical="center"/>
    </xf>
    <xf numFmtId="9" fontId="0" fillId="6" borderId="2" xfId="0" applyNumberFormat="1" applyFill="1" applyBorder="1" applyAlignment="1">
      <alignment horizontal="center" vertical="center"/>
    </xf>
    <xf numFmtId="9" fontId="0" fillId="6" borderId="10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0" fontId="0" fillId="5" borderId="7" xfId="0" applyNumberFormat="1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9" fontId="0" fillId="5" borderId="7" xfId="0" applyNumberFormat="1" applyFill="1" applyBorder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9" fontId="0" fillId="7" borderId="7" xfId="0" applyNumberFormat="1" applyFill="1" applyBorder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10" fontId="0" fillId="7" borderId="7" xfId="0" applyNumberFormat="1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9" fontId="0" fillId="7" borderId="10" xfId="0" applyNumberFormat="1" applyFill="1" applyBorder="1" applyAlignment="1">
      <alignment horizontal="center" vertical="center"/>
    </xf>
    <xf numFmtId="9" fontId="0" fillId="7" borderId="2" xfId="0" applyNumberFormat="1" applyFill="1" applyBorder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0" fontId="0" fillId="0" borderId="1" xfId="0" applyBorder="1"/>
    <xf numFmtId="10" fontId="0" fillId="0" borderId="5" xfId="0" applyNumberFormat="1" applyBorder="1"/>
    <xf numFmtId="9" fontId="0" fillId="0" borderId="5" xfId="0" applyNumberFormat="1" applyBorder="1"/>
    <xf numFmtId="0" fontId="0" fillId="4" borderId="4" xfId="0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0" fontId="0" fillId="5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0" fontId="0" fillId="7" borderId="8" xfId="0" applyNumberFormat="1" applyFill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 vertical="center"/>
    </xf>
    <xf numFmtId="9" fontId="0" fillId="5" borderId="5" xfId="0" applyNumberFormat="1" applyFill="1" applyBorder="1" applyAlignment="1">
      <alignment horizontal="center" vertical="center"/>
    </xf>
    <xf numFmtId="9" fontId="0" fillId="7" borderId="8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44" fontId="0" fillId="0" borderId="0" xfId="1" applyFont="1"/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4F15-9889-4208-A752-6A43E6A4193D}">
  <dimension ref="A1:O44"/>
  <sheetViews>
    <sheetView tabSelected="1" topLeftCell="C1" zoomScale="60" zoomScaleNormal="60" workbookViewId="0">
      <selection activeCell="N38" sqref="N38"/>
    </sheetView>
  </sheetViews>
  <sheetFormatPr defaultRowHeight="15" x14ac:dyDescent="0.25"/>
  <cols>
    <col min="1" max="1" width="22" customWidth="1"/>
    <col min="2" max="2" width="9" customWidth="1"/>
    <col min="3" max="3" width="10.42578125" customWidth="1"/>
    <col min="4" max="4" width="66.28515625" customWidth="1"/>
    <col min="5" max="5" width="1.5703125" customWidth="1"/>
    <col min="6" max="6" width="21" customWidth="1"/>
    <col min="7" max="7" width="8.7109375" customWidth="1"/>
    <col min="8" max="8" width="17" customWidth="1"/>
    <col min="9" max="9" width="67" customWidth="1"/>
    <col min="10" max="10" width="1.5703125" customWidth="1"/>
    <col min="11" max="11" width="24.7109375" customWidth="1"/>
    <col min="12" max="13" width="9.85546875" customWidth="1"/>
    <col min="14" max="14" width="66.28515625" customWidth="1"/>
  </cols>
  <sheetData>
    <row r="1" spans="1:15" x14ac:dyDescent="0.25">
      <c r="A1" s="63" t="s">
        <v>54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5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4"/>
    </row>
    <row r="3" spans="1:15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4"/>
    </row>
    <row r="4" spans="1:15" ht="24" customHeight="1" x14ac:dyDescent="0.25">
      <c r="A4" s="64" t="s">
        <v>0</v>
      </c>
      <c r="B4" s="65"/>
      <c r="C4" s="65"/>
      <c r="D4" s="66"/>
      <c r="F4" s="64" t="s">
        <v>39</v>
      </c>
      <c r="G4" s="65"/>
      <c r="H4" s="65"/>
      <c r="I4" s="66"/>
      <c r="K4" s="67" t="s">
        <v>46</v>
      </c>
      <c r="L4" s="68"/>
      <c r="M4" s="68"/>
      <c r="N4" s="69"/>
    </row>
    <row r="5" spans="1:15" x14ac:dyDescent="0.25">
      <c r="A5" s="5" t="s">
        <v>21</v>
      </c>
      <c r="B5" s="6"/>
      <c r="C5" s="6" t="s">
        <v>20</v>
      </c>
      <c r="D5" s="7" t="s">
        <v>43</v>
      </c>
      <c r="F5" s="5" t="s">
        <v>21</v>
      </c>
      <c r="G5" s="6"/>
      <c r="H5" s="6" t="s">
        <v>20</v>
      </c>
      <c r="I5" s="7" t="s">
        <v>43</v>
      </c>
      <c r="K5" s="24" t="s">
        <v>21</v>
      </c>
      <c r="L5" s="24"/>
      <c r="M5" s="24" t="s">
        <v>20</v>
      </c>
      <c r="N5" s="24" t="s">
        <v>43</v>
      </c>
    </row>
    <row r="6" spans="1:15" x14ac:dyDescent="0.25">
      <c r="A6" s="71" t="s">
        <v>1</v>
      </c>
      <c r="B6" s="76">
        <v>0.77500000000000002</v>
      </c>
      <c r="C6" s="37">
        <v>0.14499999999999999</v>
      </c>
      <c r="D6" s="8" t="s">
        <v>2</v>
      </c>
      <c r="F6" s="71" t="s">
        <v>1</v>
      </c>
      <c r="G6" s="76">
        <v>0.48</v>
      </c>
      <c r="H6" s="25">
        <v>0.1</v>
      </c>
      <c r="I6" s="8" t="s">
        <v>24</v>
      </c>
      <c r="K6" s="13" t="s">
        <v>1</v>
      </c>
      <c r="L6" s="82">
        <v>0.32500000000000001</v>
      </c>
      <c r="M6" s="85">
        <v>8.5000000000000006E-2</v>
      </c>
      <c r="N6" s="15" t="s">
        <v>2</v>
      </c>
    </row>
    <row r="7" spans="1:15" x14ac:dyDescent="0.25">
      <c r="A7" s="71"/>
      <c r="B7" s="76"/>
      <c r="C7" s="25">
        <v>0.1</v>
      </c>
      <c r="D7" s="8" t="s">
        <v>28</v>
      </c>
      <c r="F7" s="71"/>
      <c r="G7" s="76"/>
      <c r="H7" s="25">
        <v>0.1</v>
      </c>
      <c r="I7" s="8" t="s">
        <v>28</v>
      </c>
      <c r="K7" s="11"/>
      <c r="L7" s="2"/>
      <c r="M7" s="25">
        <v>0.05</v>
      </c>
      <c r="N7" s="8" t="s">
        <v>28</v>
      </c>
    </row>
    <row r="8" spans="1:15" x14ac:dyDescent="0.25">
      <c r="A8" s="71"/>
      <c r="B8" s="76"/>
      <c r="C8" s="25"/>
      <c r="D8" s="8"/>
      <c r="F8" s="71"/>
      <c r="G8" s="76"/>
      <c r="H8" s="25">
        <v>0.05</v>
      </c>
      <c r="I8" s="8" t="s">
        <v>5</v>
      </c>
      <c r="K8" s="11"/>
      <c r="L8" s="2"/>
      <c r="M8" s="25">
        <v>0.05</v>
      </c>
      <c r="N8" s="8" t="s">
        <v>6</v>
      </c>
    </row>
    <row r="9" spans="1:15" x14ac:dyDescent="0.25">
      <c r="A9" s="71"/>
      <c r="B9" s="76"/>
      <c r="C9" s="25"/>
      <c r="D9" s="8"/>
      <c r="F9" s="71"/>
      <c r="G9" s="76"/>
      <c r="H9" s="25">
        <v>0.05</v>
      </c>
      <c r="I9" s="8" t="s">
        <v>6</v>
      </c>
      <c r="K9" s="11"/>
      <c r="L9" s="2"/>
      <c r="M9" s="25">
        <v>0.05</v>
      </c>
      <c r="N9" s="8" t="s">
        <v>7</v>
      </c>
    </row>
    <row r="10" spans="1:15" x14ac:dyDescent="0.25">
      <c r="A10" s="71"/>
      <c r="B10" s="76"/>
      <c r="C10" s="25"/>
      <c r="D10" s="8"/>
      <c r="F10" s="71"/>
      <c r="G10" s="76"/>
      <c r="H10" s="25">
        <v>0.05</v>
      </c>
      <c r="I10" s="8" t="s">
        <v>7</v>
      </c>
      <c r="K10" s="11"/>
      <c r="L10" s="2"/>
      <c r="M10" s="25">
        <v>0.05</v>
      </c>
      <c r="N10" s="8" t="s">
        <v>3</v>
      </c>
    </row>
    <row r="11" spans="1:15" x14ac:dyDescent="0.25">
      <c r="A11" s="71"/>
      <c r="B11" s="76"/>
      <c r="C11" s="25">
        <v>0.2</v>
      </c>
      <c r="D11" s="8" t="s">
        <v>3</v>
      </c>
      <c r="F11" s="71"/>
      <c r="G11" s="76"/>
      <c r="H11" s="25">
        <v>0.05</v>
      </c>
      <c r="I11" s="8" t="s">
        <v>25</v>
      </c>
      <c r="K11" s="11"/>
      <c r="L11" s="2"/>
      <c r="M11" s="43">
        <v>0.02</v>
      </c>
      <c r="N11" s="8" t="s">
        <v>26</v>
      </c>
    </row>
    <row r="12" spans="1:15" x14ac:dyDescent="0.25">
      <c r="A12" s="71"/>
      <c r="B12" s="76"/>
      <c r="C12" s="37">
        <v>7.4999999999999997E-2</v>
      </c>
      <c r="D12" s="8" t="s">
        <v>4</v>
      </c>
      <c r="F12" s="71"/>
      <c r="G12" s="76"/>
      <c r="H12" s="31">
        <v>1.4999999999999999E-2</v>
      </c>
      <c r="I12" s="8" t="s">
        <v>26</v>
      </c>
      <c r="K12" s="12"/>
      <c r="L12" s="19"/>
      <c r="M12" s="44">
        <v>0.02</v>
      </c>
      <c r="N12" s="9" t="s">
        <v>27</v>
      </c>
    </row>
    <row r="13" spans="1:15" x14ac:dyDescent="0.25">
      <c r="A13" s="71"/>
      <c r="B13" s="76"/>
      <c r="C13" s="37">
        <v>7.4999999999999997E-2</v>
      </c>
      <c r="D13" s="8" t="s">
        <v>5</v>
      </c>
      <c r="F13" s="71"/>
      <c r="G13" s="76"/>
      <c r="H13" s="31">
        <v>1.4999999999999999E-2</v>
      </c>
      <c r="I13" s="8" t="s">
        <v>27</v>
      </c>
      <c r="K13" s="13" t="s">
        <v>10</v>
      </c>
      <c r="L13" s="14">
        <v>0.22</v>
      </c>
      <c r="M13" s="29"/>
      <c r="N13" s="15"/>
    </row>
    <row r="14" spans="1:15" x14ac:dyDescent="0.25">
      <c r="A14" s="71"/>
      <c r="B14" s="76"/>
      <c r="C14" s="37">
        <v>3.5000000000000003E-2</v>
      </c>
      <c r="D14" s="8" t="s">
        <v>6</v>
      </c>
      <c r="F14" s="71"/>
      <c r="G14" s="76"/>
      <c r="H14" s="38">
        <v>2.5000000000000001E-2</v>
      </c>
      <c r="I14" s="8" t="s">
        <v>8</v>
      </c>
      <c r="K14" s="11"/>
      <c r="L14" s="2"/>
      <c r="M14" s="45">
        <v>0.17499999999999999</v>
      </c>
      <c r="N14" s="8" t="s">
        <v>12</v>
      </c>
    </row>
    <row r="15" spans="1:15" x14ac:dyDescent="0.25">
      <c r="A15" s="71"/>
      <c r="B15" s="76"/>
      <c r="C15" s="37">
        <v>3.5000000000000003E-2</v>
      </c>
      <c r="D15" s="8" t="s">
        <v>7</v>
      </c>
      <c r="F15" s="72"/>
      <c r="G15" s="77"/>
      <c r="H15" s="39">
        <v>2.5000000000000001E-2</v>
      </c>
      <c r="I15" s="9" t="s">
        <v>9</v>
      </c>
      <c r="K15" s="11"/>
      <c r="L15" s="2"/>
      <c r="M15" s="45">
        <v>1.4999999999999999E-2</v>
      </c>
      <c r="N15" s="8" t="s">
        <v>57</v>
      </c>
    </row>
    <row r="16" spans="1:15" x14ac:dyDescent="0.25">
      <c r="A16" s="71"/>
      <c r="B16" s="76"/>
      <c r="C16" s="28">
        <v>2.5000000000000001E-2</v>
      </c>
      <c r="D16" s="8" t="s">
        <v>8</v>
      </c>
      <c r="F16" s="10"/>
      <c r="G16" s="2"/>
      <c r="H16" s="2"/>
      <c r="I16" s="2"/>
      <c r="K16" s="11"/>
      <c r="L16" s="2"/>
      <c r="M16" s="45">
        <v>0.01</v>
      </c>
      <c r="N16" s="8" t="s">
        <v>44</v>
      </c>
    </row>
    <row r="17" spans="1:14" x14ac:dyDescent="0.25">
      <c r="A17" s="71"/>
      <c r="B17" s="76"/>
      <c r="C17" s="28">
        <v>2.5000000000000001E-2</v>
      </c>
      <c r="D17" s="8" t="s">
        <v>9</v>
      </c>
      <c r="F17" s="70" t="s">
        <v>10</v>
      </c>
      <c r="G17" s="75">
        <v>0.18</v>
      </c>
      <c r="H17" s="29">
        <v>0.14499999999999999</v>
      </c>
      <c r="I17" s="15" t="s">
        <v>11</v>
      </c>
      <c r="K17" s="12"/>
      <c r="L17" s="19"/>
      <c r="M17" s="46">
        <v>0.02</v>
      </c>
      <c r="N17" s="9" t="s">
        <v>19</v>
      </c>
    </row>
    <row r="18" spans="1:14" x14ac:dyDescent="0.25">
      <c r="A18" s="71"/>
      <c r="B18" s="76"/>
      <c r="C18" s="26">
        <v>0.03</v>
      </c>
      <c r="D18" s="8" t="s">
        <v>22</v>
      </c>
      <c r="F18" s="71"/>
      <c r="G18" s="76"/>
      <c r="H18" s="31">
        <v>1.4999999999999999E-2</v>
      </c>
      <c r="I18" s="8" t="s">
        <v>12</v>
      </c>
      <c r="K18" s="10"/>
      <c r="L18" s="2"/>
      <c r="M18" s="2"/>
      <c r="N18" s="2"/>
    </row>
    <row r="19" spans="1:14" x14ac:dyDescent="0.25">
      <c r="A19" s="72"/>
      <c r="B19" s="77"/>
      <c r="C19" s="27">
        <v>0.03</v>
      </c>
      <c r="D19" s="9" t="s">
        <v>23</v>
      </c>
      <c r="F19" s="72"/>
      <c r="G19" s="77"/>
      <c r="H19" s="32">
        <v>0.02</v>
      </c>
      <c r="I19" s="9" t="s">
        <v>19</v>
      </c>
      <c r="K19" s="16" t="s">
        <v>13</v>
      </c>
      <c r="L19" s="17">
        <v>0.06</v>
      </c>
      <c r="M19" s="47">
        <v>0.06</v>
      </c>
      <c r="N19" s="18" t="s">
        <v>15</v>
      </c>
    </row>
    <row r="20" spans="1:14" x14ac:dyDescent="0.25">
      <c r="A20" s="10"/>
      <c r="B20" s="2"/>
      <c r="C20" s="2"/>
      <c r="D20" s="2"/>
      <c r="F20" s="10"/>
      <c r="G20" s="2"/>
      <c r="H20" s="2"/>
      <c r="I20" s="2"/>
      <c r="K20" s="10"/>
      <c r="L20" s="2"/>
      <c r="M20" s="2"/>
      <c r="N20" s="2"/>
    </row>
    <row r="21" spans="1:14" x14ac:dyDescent="0.25">
      <c r="A21" s="70" t="s">
        <v>10</v>
      </c>
      <c r="B21" s="75">
        <v>0.1</v>
      </c>
      <c r="C21" s="29">
        <v>7.4999999999999997E-2</v>
      </c>
      <c r="D21" s="15" t="s">
        <v>11</v>
      </c>
      <c r="F21" s="70" t="s">
        <v>13</v>
      </c>
      <c r="G21" s="73">
        <v>0.08</v>
      </c>
      <c r="H21" s="29">
        <v>6.5000000000000002E-2</v>
      </c>
      <c r="I21" s="15" t="s">
        <v>14</v>
      </c>
      <c r="K21" s="70" t="s">
        <v>29</v>
      </c>
      <c r="L21" s="73">
        <v>0.08</v>
      </c>
      <c r="M21" s="40">
        <v>0.04</v>
      </c>
      <c r="N21" s="15" t="s">
        <v>33</v>
      </c>
    </row>
    <row r="22" spans="1:14" x14ac:dyDescent="0.25">
      <c r="A22" s="71"/>
      <c r="B22" s="76"/>
      <c r="C22" s="31">
        <v>2.5000000000000001E-2</v>
      </c>
      <c r="D22" s="8" t="s">
        <v>12</v>
      </c>
      <c r="F22" s="72"/>
      <c r="G22" s="74"/>
      <c r="H22" s="32">
        <v>1.4999999999999999E-2</v>
      </c>
      <c r="I22" s="9" t="s">
        <v>15</v>
      </c>
      <c r="K22" s="72"/>
      <c r="L22" s="74"/>
      <c r="M22" s="42">
        <v>0.04</v>
      </c>
      <c r="N22" s="9" t="s">
        <v>32</v>
      </c>
    </row>
    <row r="23" spans="1:14" x14ac:dyDescent="0.25">
      <c r="A23" s="72"/>
      <c r="B23" s="77"/>
      <c r="C23" s="32">
        <v>2.5000000000000001E-2</v>
      </c>
      <c r="D23" s="9" t="s">
        <v>19</v>
      </c>
      <c r="F23" s="10"/>
      <c r="G23" s="2"/>
      <c r="H23" s="2"/>
      <c r="I23" s="2"/>
      <c r="K23" s="10"/>
      <c r="L23" s="2"/>
      <c r="M23" s="2"/>
      <c r="N23" s="2"/>
    </row>
    <row r="24" spans="1:14" x14ac:dyDescent="0.25">
      <c r="A24" s="10"/>
      <c r="B24" s="2"/>
      <c r="C24" s="2"/>
      <c r="D24" s="2"/>
      <c r="F24" s="70" t="s">
        <v>29</v>
      </c>
      <c r="G24" s="75">
        <v>0.112</v>
      </c>
      <c r="H24" s="40">
        <v>0.02</v>
      </c>
      <c r="I24" s="15" t="s">
        <v>30</v>
      </c>
      <c r="K24" s="16" t="s">
        <v>45</v>
      </c>
      <c r="L24" s="17">
        <v>2.5000000000000001E-2</v>
      </c>
      <c r="M24" s="30">
        <v>2.5000000000000001E-2</v>
      </c>
      <c r="N24" s="18" t="s">
        <v>16</v>
      </c>
    </row>
    <row r="25" spans="1:14" x14ac:dyDescent="0.25">
      <c r="A25" s="70" t="s">
        <v>13</v>
      </c>
      <c r="B25" s="75">
        <v>5.1999999999999998E-2</v>
      </c>
      <c r="C25" s="29">
        <v>0.04</v>
      </c>
      <c r="D25" s="15" t="s">
        <v>14</v>
      </c>
      <c r="F25" s="71"/>
      <c r="G25" s="76"/>
      <c r="H25" s="41">
        <v>0.02</v>
      </c>
      <c r="I25" s="8" t="s">
        <v>31</v>
      </c>
      <c r="K25" s="10"/>
      <c r="L25" s="2"/>
      <c r="M25" s="2"/>
      <c r="N25" s="2"/>
    </row>
    <row r="26" spans="1:14" x14ac:dyDescent="0.25">
      <c r="A26" s="72"/>
      <c r="B26" s="77"/>
      <c r="C26" s="50">
        <v>2.5000000000000001E-2</v>
      </c>
      <c r="D26" s="9" t="s">
        <v>15</v>
      </c>
      <c r="F26" s="71"/>
      <c r="G26" s="76"/>
      <c r="H26" s="28">
        <v>3.5999999999999997E-2</v>
      </c>
      <c r="I26" s="8" t="s">
        <v>33</v>
      </c>
      <c r="K26" s="16" t="s">
        <v>40</v>
      </c>
      <c r="L26" s="23">
        <v>0.04</v>
      </c>
      <c r="M26" s="48">
        <v>0.04</v>
      </c>
      <c r="N26" s="18" t="s">
        <v>17</v>
      </c>
    </row>
    <row r="27" spans="1:14" x14ac:dyDescent="0.25">
      <c r="A27" s="10"/>
      <c r="B27" s="1"/>
      <c r="C27" s="3"/>
      <c r="D27" s="2"/>
      <c r="F27" s="72"/>
      <c r="G27" s="77"/>
      <c r="H27" s="84">
        <v>3.5999999999999997E-2</v>
      </c>
      <c r="I27" s="9" t="s">
        <v>32</v>
      </c>
      <c r="K27" s="10"/>
      <c r="L27" s="2"/>
      <c r="M27" s="2"/>
      <c r="N27" s="2"/>
    </row>
    <row r="28" spans="1:14" x14ac:dyDescent="0.25">
      <c r="A28" s="10"/>
      <c r="B28" s="2"/>
      <c r="C28" s="2"/>
      <c r="D28" s="2"/>
      <c r="F28" s="10"/>
      <c r="G28" s="2"/>
      <c r="H28" s="2"/>
      <c r="I28" s="2"/>
      <c r="K28" s="16" t="s">
        <v>55</v>
      </c>
      <c r="L28" s="17">
        <v>7.5999999999999998E-2</v>
      </c>
      <c r="M28" s="47">
        <v>7.5999999999999998E-2</v>
      </c>
      <c r="N28" s="18" t="s">
        <v>56</v>
      </c>
    </row>
    <row r="29" spans="1:14" x14ac:dyDescent="0.25">
      <c r="A29" s="16" t="s">
        <v>45</v>
      </c>
      <c r="B29" s="17">
        <v>2.5000000000000001E-2</v>
      </c>
      <c r="C29" s="30">
        <v>2.5000000000000001E-2</v>
      </c>
      <c r="D29" s="18" t="s">
        <v>16</v>
      </c>
      <c r="F29" s="16" t="s">
        <v>45</v>
      </c>
      <c r="G29" s="17">
        <v>2.5000000000000001E-2</v>
      </c>
      <c r="H29" s="30">
        <v>2.5000000000000001E-2</v>
      </c>
      <c r="I29" s="18" t="s">
        <v>16</v>
      </c>
      <c r="K29" s="10"/>
      <c r="L29" s="2"/>
      <c r="M29" s="2"/>
      <c r="N29" s="2"/>
    </row>
    <row r="30" spans="1:14" x14ac:dyDescent="0.25">
      <c r="A30" s="10"/>
      <c r="B30" s="2"/>
      <c r="C30" s="2"/>
      <c r="D30" s="2"/>
      <c r="F30" s="10"/>
      <c r="G30" s="2"/>
      <c r="H30" s="2"/>
      <c r="I30" s="2"/>
      <c r="K30" s="16" t="s">
        <v>42</v>
      </c>
      <c r="L30" s="23">
        <v>0.12</v>
      </c>
      <c r="M30" s="48">
        <v>0.12</v>
      </c>
      <c r="N30" s="18" t="s">
        <v>34</v>
      </c>
    </row>
    <row r="31" spans="1:14" x14ac:dyDescent="0.25">
      <c r="A31" s="16" t="s">
        <v>40</v>
      </c>
      <c r="B31" s="17">
        <v>0.02</v>
      </c>
      <c r="C31" s="34">
        <v>2.5000000000000001E-2</v>
      </c>
      <c r="D31" s="18" t="s">
        <v>17</v>
      </c>
      <c r="F31" s="16" t="s">
        <v>41</v>
      </c>
      <c r="G31" s="17">
        <v>2.8000000000000001E-2</v>
      </c>
      <c r="H31" s="34">
        <v>2.8000000000000001E-2</v>
      </c>
      <c r="I31" s="18" t="s">
        <v>17</v>
      </c>
      <c r="K31" s="10"/>
      <c r="L31" s="2"/>
      <c r="M31" s="2"/>
      <c r="N31" s="2"/>
    </row>
    <row r="32" spans="1:14" x14ac:dyDescent="0.25">
      <c r="A32" s="10"/>
      <c r="B32" s="2"/>
      <c r="C32" s="2"/>
      <c r="D32" s="2"/>
      <c r="F32" s="10"/>
      <c r="G32" s="2"/>
      <c r="H32" s="2"/>
      <c r="I32" s="2"/>
      <c r="K32" s="70" t="s">
        <v>35</v>
      </c>
      <c r="L32" s="79">
        <v>5.3999999999999999E-2</v>
      </c>
      <c r="M32" s="49">
        <v>0.02</v>
      </c>
      <c r="N32" s="15" t="s">
        <v>36</v>
      </c>
    </row>
    <row r="33" spans="1:14" x14ac:dyDescent="0.25">
      <c r="A33" s="16" t="s">
        <v>18</v>
      </c>
      <c r="B33" s="17">
        <v>2.8000000000000001E-2</v>
      </c>
      <c r="C33" s="34">
        <v>3.5000000000000003E-2</v>
      </c>
      <c r="D33" s="18" t="s">
        <v>34</v>
      </c>
      <c r="F33" s="16" t="s">
        <v>18</v>
      </c>
      <c r="G33" s="23"/>
      <c r="H33" s="36"/>
      <c r="I33" s="18"/>
      <c r="K33" s="71"/>
      <c r="L33" s="80"/>
      <c r="M33" s="86">
        <v>1.4E-2</v>
      </c>
      <c r="N33" s="8" t="s">
        <v>37</v>
      </c>
    </row>
    <row r="34" spans="1:14" x14ac:dyDescent="0.25">
      <c r="F34" s="10"/>
      <c r="G34" s="2"/>
      <c r="H34" s="2"/>
      <c r="I34" s="2"/>
      <c r="K34" s="72"/>
      <c r="L34" s="81"/>
      <c r="M34" s="44">
        <v>0.02</v>
      </c>
      <c r="N34" s="9" t="s">
        <v>38</v>
      </c>
    </row>
    <row r="35" spans="1:14" x14ac:dyDescent="0.25">
      <c r="F35" s="16" t="s">
        <v>42</v>
      </c>
      <c r="G35" s="17">
        <v>7.0000000000000007E-2</v>
      </c>
      <c r="H35" s="36">
        <v>7.0000000000000007E-2</v>
      </c>
      <c r="I35" s="18" t="s">
        <v>34</v>
      </c>
    </row>
    <row r="36" spans="1:14" x14ac:dyDescent="0.25">
      <c r="F36" s="10"/>
      <c r="G36" s="2"/>
      <c r="H36" s="2"/>
      <c r="I36" s="2"/>
    </row>
    <row r="37" spans="1:14" x14ac:dyDescent="0.25">
      <c r="F37" s="70" t="s">
        <v>35</v>
      </c>
      <c r="G37" s="79">
        <v>2.5000000000000001E-2</v>
      </c>
      <c r="H37" s="35">
        <v>0.01</v>
      </c>
      <c r="I37" s="15" t="s">
        <v>36</v>
      </c>
    </row>
    <row r="38" spans="1:14" x14ac:dyDescent="0.25">
      <c r="F38" s="71"/>
      <c r="G38" s="80"/>
      <c r="H38" s="83">
        <v>5.0000000000000001E-3</v>
      </c>
      <c r="I38" s="8" t="s">
        <v>37</v>
      </c>
    </row>
    <row r="39" spans="1:14" x14ac:dyDescent="0.25">
      <c r="F39" s="72"/>
      <c r="G39" s="81"/>
      <c r="H39" s="33">
        <v>0.01</v>
      </c>
      <c r="I39" s="9" t="s">
        <v>38</v>
      </c>
    </row>
    <row r="44" spans="1:14" x14ac:dyDescent="0.25">
      <c r="H44" s="78"/>
    </row>
  </sheetData>
  <mergeCells count="24">
    <mergeCell ref="G6:G15"/>
    <mergeCell ref="F17:F19"/>
    <mergeCell ref="F37:F39"/>
    <mergeCell ref="G37:G39"/>
    <mergeCell ref="A21:A23"/>
    <mergeCell ref="B21:B23"/>
    <mergeCell ref="A25:A26"/>
    <mergeCell ref="B25:B26"/>
    <mergeCell ref="A1:N3"/>
    <mergeCell ref="F4:I4"/>
    <mergeCell ref="K4:N4"/>
    <mergeCell ref="K32:K34"/>
    <mergeCell ref="L32:L34"/>
    <mergeCell ref="K21:K22"/>
    <mergeCell ref="L21:L22"/>
    <mergeCell ref="G17:G19"/>
    <mergeCell ref="F21:F22"/>
    <mergeCell ref="G21:G22"/>
    <mergeCell ref="F24:F27"/>
    <mergeCell ref="G24:G27"/>
    <mergeCell ref="B6:B19"/>
    <mergeCell ref="A6:A19"/>
    <mergeCell ref="A4:D4"/>
    <mergeCell ref="F6:F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C4FA-707B-4F04-A037-5F0E8C2418A7}">
  <dimension ref="C3:J11"/>
  <sheetViews>
    <sheetView workbookViewId="0">
      <selection activeCell="D7" sqref="D7"/>
    </sheetView>
  </sheetViews>
  <sheetFormatPr defaultRowHeight="15" x14ac:dyDescent="0.25"/>
  <cols>
    <col min="3" max="3" width="22.85546875" customWidth="1"/>
    <col min="6" max="6" width="22.85546875" customWidth="1"/>
    <col min="9" max="9" width="22.85546875" customWidth="1"/>
  </cols>
  <sheetData>
    <row r="3" spans="3:10" x14ac:dyDescent="0.25">
      <c r="C3" s="51" t="s">
        <v>0</v>
      </c>
      <c r="D3" s="20"/>
      <c r="F3" s="51" t="s">
        <v>39</v>
      </c>
      <c r="G3" s="20"/>
      <c r="I3" s="51" t="s">
        <v>46</v>
      </c>
      <c r="J3" s="20"/>
    </row>
    <row r="4" spans="3:10" x14ac:dyDescent="0.25">
      <c r="C4" s="21" t="s">
        <v>48</v>
      </c>
      <c r="D4" s="52">
        <f>SUM('ALOCAÇÃO POR CLASSE'!C11,'ALOCAÇÃO POR CLASSE'!C12,'ALOCAÇÃO POR CLASSE'!C13,'ALOCAÇÃO POR CLASSE'!C14,'ALOCAÇÃO POR CLASSE'!C15,'ALOCAÇÃO POR CLASSE'!C29,'ALOCAÇÃO POR CLASSE'!C31,'ALOCAÇÃO POR CLASSE'!C33)</f>
        <v>0.50500000000000012</v>
      </c>
      <c r="F4" s="21" t="s">
        <v>48</v>
      </c>
      <c r="G4" s="52">
        <f>SUM('ALOCAÇÃO POR CLASSE'!H6,'ALOCAÇÃO POR CLASSE'!H11,'ALOCAÇÃO POR CLASSE'!H29,'ALOCAÇÃO POR CLASSE'!H31,'ALOCAÇÃO POR CLASSE'!H33,'ALOCAÇÃO POR CLASSE'!H35,'ALOCAÇÃO POR CLASSE'!H37,'ALOCAÇÃO POR CLASSE'!H38,'ALOCAÇÃO POR CLASSE'!H39)</f>
        <v>0.29800000000000004</v>
      </c>
      <c r="I4" s="21" t="s">
        <v>48</v>
      </c>
      <c r="J4" s="53">
        <f>SUM('ALOCAÇÃO POR CLASSE'!M24,'ALOCAÇÃO POR CLASSE'!M26,'ALOCAÇÃO POR CLASSE'!M28,'ALOCAÇÃO POR CLASSE'!M30,'ALOCAÇÃO POR CLASSE'!M32,'ALOCAÇÃO POR CLASSE'!M33,'ALOCAÇÃO POR CLASSE'!M34)</f>
        <v>0.31500000000000006</v>
      </c>
    </row>
    <row r="5" spans="3:10" x14ac:dyDescent="0.25">
      <c r="C5" s="21" t="s">
        <v>47</v>
      </c>
      <c r="D5" s="52">
        <f>SUM('ALOCAÇÃO POR CLASSE'!C6,'ALOCAÇÃO POR CLASSE'!C7,'ALOCAÇÃO POR CLASSE'!C21,'ALOCAÇÃO POR CLASSE'!C22,'ALOCAÇÃO POR CLASSE'!C25,'ALOCAÇÃO POR CLASSE'!C26)</f>
        <v>0.41000000000000003</v>
      </c>
      <c r="F5" s="21" t="s">
        <v>47</v>
      </c>
      <c r="G5" s="52">
        <f>SUM('ALOCAÇÃO POR CLASSE'!H7,'ALOCAÇÃO POR CLASSE'!H17,'ALOCAÇÃO POR CLASSE'!H18,'ALOCAÇÃO POR CLASSE'!H21,'ALOCAÇÃO POR CLASSE'!H22)</f>
        <v>0.34</v>
      </c>
      <c r="I5" s="21" t="s">
        <v>47</v>
      </c>
      <c r="J5" s="52">
        <f>SUM('ALOCAÇÃO POR CLASSE'!M6,'ALOCAÇÃO POR CLASSE'!M7,'ALOCAÇÃO POR CLASSE'!M13:M16,'ALOCAÇÃO POR CLASSE'!M19)</f>
        <v>0.39500000000000002</v>
      </c>
    </row>
    <row r="6" spans="3:10" x14ac:dyDescent="0.25">
      <c r="C6" s="21" t="s">
        <v>49</v>
      </c>
      <c r="D6" s="53">
        <f>SUM('ALOCAÇÃO POR CLASSE'!C18,'ALOCAÇÃO POR CLASSE'!C19,'ALOCAÇÃO POR CLASSE'!C23)</f>
        <v>8.4999999999999992E-2</v>
      </c>
      <c r="F6" s="21" t="s">
        <v>49</v>
      </c>
      <c r="G6" s="52">
        <f>SUM('ALOCAÇÃO POR CLASSE'!H19,'ALOCAÇÃO POR CLASSE'!H26,'ALOCAÇÃO POR CLASSE'!H27)</f>
        <v>9.1999999999999998E-2</v>
      </c>
      <c r="I6" s="21" t="s">
        <v>49</v>
      </c>
      <c r="J6" s="52">
        <f>SUM('ALOCAÇÃO POR CLASSE'!M17,'ALOCAÇÃO POR CLASSE'!M21,'ALOCAÇÃO POR CLASSE'!M22)</f>
        <v>0.1</v>
      </c>
    </row>
    <row r="7" spans="3:10" x14ac:dyDescent="0.25">
      <c r="C7" s="21" t="s">
        <v>50</v>
      </c>
      <c r="D7" s="53">
        <f>SUM('ALOCAÇÃO POR CLASSE'!C16,'ALOCAÇÃO POR CLASSE'!C17)</f>
        <v>0.05</v>
      </c>
      <c r="F7" s="21" t="s">
        <v>50</v>
      </c>
      <c r="G7" s="53">
        <f>SUM('ALOCAÇÃO POR CLASSE'!H12,'ALOCAÇÃO POR CLASSE'!H13,'ALOCAÇÃO POR CLASSE'!H14,'ALOCAÇÃO POR CLASSE'!H15,'ALOCAÇÃO POR CLASSE'!H24,'ALOCAÇÃO POR CLASSE'!H25)</f>
        <v>0.12000000000000001</v>
      </c>
      <c r="I7" s="21" t="s">
        <v>50</v>
      </c>
      <c r="J7" s="53">
        <f>SUM('ALOCAÇÃO POR CLASSE'!M11,'ALOCAÇÃO POR CLASSE'!M12)</f>
        <v>0.04</v>
      </c>
    </row>
    <row r="8" spans="3:10" x14ac:dyDescent="0.25">
      <c r="C8" s="21"/>
      <c r="D8" s="22"/>
      <c r="F8" s="21"/>
      <c r="G8" s="22"/>
      <c r="I8" s="21"/>
      <c r="J8" s="22"/>
    </row>
    <row r="9" spans="3:10" x14ac:dyDescent="0.25">
      <c r="C9" s="54" t="s">
        <v>51</v>
      </c>
      <c r="D9" s="55">
        <v>0.67500000000000004</v>
      </c>
      <c r="E9" s="2"/>
      <c r="F9" s="54" t="s">
        <v>51</v>
      </c>
      <c r="G9" s="55">
        <v>0.28499999999999998</v>
      </c>
      <c r="H9" s="2"/>
      <c r="I9" s="54" t="s">
        <v>51</v>
      </c>
      <c r="J9" s="60">
        <v>0.12</v>
      </c>
    </row>
    <row r="10" spans="3:10" x14ac:dyDescent="0.25">
      <c r="C10" s="56" t="s">
        <v>52</v>
      </c>
      <c r="D10" s="57">
        <v>0.19</v>
      </c>
      <c r="E10" s="2"/>
      <c r="F10" s="56" t="s">
        <v>52</v>
      </c>
      <c r="G10" s="57">
        <v>0.41</v>
      </c>
      <c r="H10" s="2"/>
      <c r="I10" s="56" t="s">
        <v>52</v>
      </c>
      <c r="J10" s="61">
        <v>0.26</v>
      </c>
    </row>
    <row r="11" spans="3:10" x14ac:dyDescent="0.25">
      <c r="C11" s="58" t="s">
        <v>53</v>
      </c>
      <c r="D11" s="59">
        <v>0.13500000000000001</v>
      </c>
      <c r="E11" s="2"/>
      <c r="F11" s="58" t="s">
        <v>53</v>
      </c>
      <c r="G11" s="59">
        <v>0.30499999999999999</v>
      </c>
      <c r="H11" s="2"/>
      <c r="I11" s="58" t="s">
        <v>53</v>
      </c>
      <c r="J11" s="62">
        <v>0.62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1394-5849-405C-A779-70919652C5F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ALOCAÇÃO POR CLASSE</vt:lpstr>
      <vt:lpstr>COMPOSIÇÃO</vt:lpstr>
      <vt:lpstr>COMERCIAL TÉCNICO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Bruno Guimarães Ferreira</cp:lastModifiedBy>
  <dcterms:created xsi:type="dcterms:W3CDTF">2026-06-25T14:19:35Z</dcterms:created>
  <dcterms:modified xsi:type="dcterms:W3CDTF">2026-07-09T15:08:13Z</dcterms:modified>
</cp:coreProperties>
</file>